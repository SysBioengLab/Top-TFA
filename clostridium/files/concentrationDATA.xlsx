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C\Magister\CodigoFinal\clostridium\DATA\"/>
    </mc:Choice>
  </mc:AlternateContent>
  <xr:revisionPtr revIDLastSave="0" documentId="13_ncr:1_{EF8A0224-A54A-472C-BD63-A2104722544F}" xr6:coauthVersionLast="47" xr6:coauthVersionMax="47" xr10:uidLastSave="{00000000-0000-0000-0000-000000000000}"/>
  <bookViews>
    <workbookView xWindow="-108" yWindow="-108" windowWidth="23256" windowHeight="12576" activeTab="3" xr2:uid="{12EC0811-B201-4D92-91A3-3E0E7EADC4F1}"/>
  </bookViews>
  <sheets>
    <sheet name="Metabolite concentration" sheetId="1" r:id="rId1"/>
    <sheet name="Hoja1" sheetId="3" r:id="rId2"/>
    <sheet name="Uptake Rates" sheetId="2" r:id="rId3"/>
    <sheet name="Flux inform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4" l="1"/>
  <c r="L11" i="4"/>
  <c r="L12" i="4"/>
  <c r="L13" i="4"/>
  <c r="L14" i="4"/>
  <c r="L7" i="4"/>
  <c r="K11" i="4"/>
  <c r="K12" i="4"/>
  <c r="K13" i="4"/>
  <c r="K14" i="4"/>
  <c r="K8" i="4"/>
  <c r="K7" i="4"/>
  <c r="E8" i="1"/>
  <c r="H14" i="1"/>
  <c r="H9" i="1"/>
  <c r="H10" i="1"/>
  <c r="H11" i="1"/>
  <c r="H12" i="1"/>
  <c r="H13" i="1"/>
  <c r="H15" i="1"/>
  <c r="H8" i="1"/>
  <c r="G9" i="1"/>
  <c r="G10" i="1"/>
  <c r="G11" i="1"/>
  <c r="G12" i="1"/>
  <c r="G13" i="1"/>
  <c r="G14" i="1"/>
  <c r="G15" i="1"/>
  <c r="G8" i="1"/>
  <c r="L8" i="1"/>
  <c r="K8" i="1"/>
  <c r="M8" i="1"/>
  <c r="F12" i="1"/>
  <c r="E9" i="1"/>
  <c r="F9" i="1"/>
  <c r="E10" i="1"/>
  <c r="F10" i="1"/>
  <c r="E11" i="1"/>
  <c r="F11" i="1"/>
  <c r="E12" i="1"/>
  <c r="E13" i="1"/>
  <c r="F13" i="1"/>
  <c r="E14" i="1"/>
  <c r="F14" i="1"/>
  <c r="E15" i="1"/>
  <c r="F15" i="1"/>
  <c r="F8" i="1"/>
  <c r="J9" i="1"/>
  <c r="J11" i="1"/>
  <c r="I9" i="1"/>
  <c r="I10" i="1"/>
  <c r="J10" i="1"/>
  <c r="I11" i="1"/>
  <c r="I12" i="1"/>
  <c r="J12" i="1"/>
  <c r="I13" i="1"/>
  <c r="J13" i="1"/>
  <c r="I14" i="1"/>
  <c r="J14" i="1"/>
  <c r="I15" i="1"/>
  <c r="J15" i="1"/>
  <c r="I8" i="1"/>
  <c r="N8" i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Kaspar Valgepea</author>
  </authors>
  <commentList>
    <comment ref="B5" authorId="0" shapeId="0" xr:uid="{60F8C06D-7797-45AC-9EC5-C877919A16FC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1;
Constrained with experimentally measured specific growth rate, substrate uptake and product secretion rates;
maximising for ATP dissipation (maintenance ATP costs)</t>
        </r>
      </text>
    </comment>
    <comment ref="C5" authorId="0" shapeId="0" xr:uid="{FC357071-DBED-4A41-A522-A855183CD560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2;
Constrained with experimentally measured specific growth rate, substrate uptake and product secretion rates;
maximising for ATP dissipation (maintenance ATP costs)</t>
        </r>
      </text>
    </comment>
    <comment ref="D5" authorId="0" shapeId="0" xr:uid="{7C0DA6C9-5D9D-456B-A3FA-CB5C487FD750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2 SIM5 without AOR (reaction leq000004)</t>
        </r>
      </text>
    </comment>
    <comment ref="E5" authorId="0" shapeId="0" xr:uid="{CDA125EB-13AB-4DCF-B34C-1193088DDD5C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1;
Constrained with experimentally measured substrate uptake rates and maintenance ATP costs from SIM4;
maximising for biomass</t>
        </r>
      </text>
    </comment>
    <comment ref="F5" authorId="0" shapeId="0" xr:uid="{CA1646A9-DE0A-4BEF-A4DE-2D0EE0339BCB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2;
Constrained with experimentally measured substrate uptake rates and maintenance ATP costs from SIM5;
maximising for biomass</t>
        </r>
      </text>
    </comment>
    <comment ref="G5" authorId="0" shapeId="0" xr:uid="{8361E620-41A6-426D-ADD7-81C31FEF30F6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1 SIM10 without FdhA (rxn00103_c0) and additionally constrainiing the ratio between reactions rxn08518_c0 and leq000001 (see Methods for details)
</t>
        </r>
      </text>
    </comment>
    <comment ref="H5" authorId="0" shapeId="0" xr:uid="{6FC8B8CB-3F8B-49ED-961E-4872B5AEAC22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2 SIM11 without FdhA (rxn00103_c0) and additionally constraining the ratio between reactions rxn08518_c0 and leq000001 (see Methods for details)
</t>
        </r>
      </text>
    </comment>
    <comment ref="I5" authorId="0" shapeId="0" xr:uid="{E8BEF376-B098-402B-A34B-58AD0200C26E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1 SIM15 constraints solved with the transcriptomics data-aided GIMME method  (see Methods for details)
</t>
        </r>
      </text>
    </comment>
    <comment ref="J5" authorId="0" shapeId="0" xr:uid="{0ADF815D-7E63-4EF0-9F42-88129C78935A}">
      <text>
        <r>
          <rPr>
            <b/>
            <sz val="9"/>
            <color indexed="81"/>
            <rFont val="Tahoma"/>
            <family val="2"/>
          </rPr>
          <t>Kaspar Valgepea:</t>
        </r>
        <r>
          <rPr>
            <sz val="9"/>
            <color indexed="81"/>
            <rFont val="Tahoma"/>
            <family val="2"/>
          </rPr>
          <t xml:space="preserve">
High BC (1.4 gDCW/L) biological replicate 2 SIM16 constraints solved with the transcriptomics data-aided GIMME method  (see Methods for details)
</t>
        </r>
      </text>
    </comment>
  </commentList>
</comments>
</file>

<file path=xl/sharedStrings.xml><?xml version="1.0" encoding="utf-8"?>
<sst xmlns="http://schemas.openxmlformats.org/spreadsheetml/2006/main" count="246" uniqueCount="196">
  <si>
    <t>Metabolite</t>
  </si>
  <si>
    <t>AcLAC</t>
  </si>
  <si>
    <t>AcP</t>
  </si>
  <si>
    <t>AcCoA</t>
  </si>
  <si>
    <t>NAD</t>
  </si>
  <si>
    <t>NADH</t>
  </si>
  <si>
    <t>NADP</t>
  </si>
  <si>
    <t>NADPH</t>
  </si>
  <si>
    <t>PYR</t>
  </si>
  <si>
    <t>AVG concentration (uMol/gDCW)</t>
  </si>
  <si>
    <t>STD concentration (uMol/gDCW)</t>
  </si>
  <si>
    <t>LB (uMol/gDCW)</t>
  </si>
  <si>
    <t>UB (uMol/gDCW)</t>
  </si>
  <si>
    <t xml:space="preserve">    {'h'       }</t>
  </si>
  <si>
    <t xml:space="preserve">    {'h2o'     }</t>
  </si>
  <si>
    <t xml:space="preserve">    {'fdred'   }</t>
  </si>
  <si>
    <t xml:space="preserve">    {'fdox'    }</t>
  </si>
  <si>
    <t xml:space="preserve">    {'pi'      }</t>
  </si>
  <si>
    <t xml:space="preserve">    {'atp'     }</t>
  </si>
  <si>
    <t xml:space="preserve">    {'adp'     }</t>
  </si>
  <si>
    <t xml:space="preserve">    {'coa'     }</t>
  </si>
  <si>
    <t xml:space="preserve">    {'nadh'    }</t>
  </si>
  <si>
    <t xml:space="preserve">    {'nad'     }</t>
  </si>
  <si>
    <t xml:space="preserve">    {'nadph'   }</t>
  </si>
  <si>
    <t xml:space="preserve">    {'nadp'    }</t>
  </si>
  <si>
    <t xml:space="preserve">    {'cfesp'   }</t>
  </si>
  <si>
    <t xml:space="preserve">    {'5mthf'   }</t>
  </si>
  <si>
    <t xml:space="preserve">    {'thf'     }</t>
  </si>
  <si>
    <t xml:space="preserve">    {'mecfsp'  }</t>
  </si>
  <si>
    <t xml:space="preserve">    {'co2'     }</t>
  </si>
  <si>
    <t xml:space="preserve">    {'R_actn'  }</t>
  </si>
  <si>
    <t xml:space="preserve">    {'cpd01947'}</t>
  </si>
  <si>
    <t xml:space="preserve">    {'2,3-BDO' }</t>
  </si>
  <si>
    <t xml:space="preserve">    {'pyr'     }</t>
  </si>
  <si>
    <t xml:space="preserve">    {'CO'      }</t>
  </si>
  <si>
    <t xml:space="preserve">    {'h2'      }</t>
  </si>
  <si>
    <t xml:space="preserve">    {'for'     }</t>
  </si>
  <si>
    <t xml:space="preserve">    {'accoa'   }</t>
  </si>
  <si>
    <t xml:space="preserve">    {'acald'   }</t>
  </si>
  <si>
    <t xml:space="preserve">    {'mlthf'   }</t>
  </si>
  <si>
    <t xml:space="preserve">    {'alac'    }</t>
  </si>
  <si>
    <t xml:space="preserve">    {'ac'      }</t>
  </si>
  <si>
    <t xml:space="preserve">    {'methf'   }</t>
  </si>
  <si>
    <t xml:space="preserve">    {'10fthf'  }</t>
  </si>
  <si>
    <t xml:space="preserve">    {'actp'    }</t>
  </si>
  <si>
    <t xml:space="preserve">    {'etoh'    }</t>
  </si>
  <si>
    <t>.mets</t>
  </si>
  <si>
    <t>.metAbrvv(…)</t>
  </si>
  <si>
    <t xml:space="preserve">    {'c242[e]' }</t>
  </si>
  <si>
    <t xml:space="preserve">    {'c242[c]' }</t>
  </si>
  <si>
    <t xml:space="preserve">    {'c1392[c]'}</t>
  </si>
  <si>
    <t xml:space="preserve">    {'c1187[c]'}</t>
  </si>
  <si>
    <t xml:space="preserve">    {'c655[c]' }</t>
  </si>
  <si>
    <t xml:space="preserve">    {'c1419[c]'}</t>
  </si>
  <si>
    <t xml:space="preserve">    {'c13[c]'  }</t>
  </si>
  <si>
    <t xml:space="preserve">    {'c16[c]'  }</t>
  </si>
  <si>
    <t xml:space="preserve">    {'c662[c]' }</t>
  </si>
  <si>
    <t xml:space="preserve">    {'c638[c]' }</t>
  </si>
  <si>
    <t xml:space="preserve">    {'c1164[c]'}</t>
  </si>
  <si>
    <t xml:space="preserve">    {'c1130[c]'}</t>
  </si>
  <si>
    <t xml:space="preserve">    {'c624[c]' }</t>
  </si>
  <si>
    <t xml:space="preserve">    {'c928[c]' }</t>
  </si>
  <si>
    <t xml:space="preserve">    {'c1018[c]'}</t>
  </si>
  <si>
    <t xml:space="preserve">    {'c1151[c]'}</t>
  </si>
  <si>
    <t xml:space="preserve">    {'c676[c]' }</t>
  </si>
  <si>
    <t xml:space="preserve">    {'c1466[c]'}</t>
  </si>
  <si>
    <t xml:space="preserve">    {'c1466[e]'}</t>
  </si>
  <si>
    <t xml:space="preserve">    {'c865[c]' }</t>
  </si>
  <si>
    <t xml:space="preserve">    {'c355[c]' }</t>
  </si>
  <si>
    <t xml:space="preserve">    {'c1305[c]'}</t>
  </si>
  <si>
    <t xml:space="preserve">    {'c1337[c]'}</t>
  </si>
  <si>
    <t xml:space="preserve">    {'c1405[c]'}</t>
  </si>
  <si>
    <t xml:space="preserve">    {'c1311[c]'}</t>
  </si>
  <si>
    <t xml:space="preserve">    {'c1453[c]'}</t>
  </si>
  <si>
    <t xml:space="preserve">    {'c947[c]' }</t>
  </si>
  <si>
    <t xml:space="preserve">    {'c702[c]' }</t>
  </si>
  <si>
    <t xml:space="preserve">    {'c741[c]' }</t>
  </si>
  <si>
    <t xml:space="preserve">    {'c1432[c]'}</t>
  </si>
  <si>
    <t xml:space="preserve">    {'c241[c]' }</t>
  </si>
  <si>
    <t xml:space="preserve">    {'c1156[c]'}</t>
  </si>
  <si>
    <t xml:space="preserve">    {'c1095[c]'}</t>
  </si>
  <si>
    <t xml:space="preserve">    {'c1392[e]'}</t>
  </si>
  <si>
    <t xml:space="preserve">    {'c17[c]'  }</t>
  </si>
  <si>
    <t xml:space="preserve">    {'c1298[c]'}</t>
  </si>
  <si>
    <t xml:space="preserve">    {'c1298[e]'}</t>
  </si>
  <si>
    <t xml:space="preserve">    {'c1311[e]'}</t>
  </si>
  <si>
    <t xml:space="preserve">    {'c241[e]' }</t>
  </si>
  <si>
    <t xml:space="preserve">    {'c1305[e]'}</t>
  </si>
  <si>
    <t>check</t>
  </si>
  <si>
    <t>no value</t>
  </si>
  <si>
    <t xml:space="preserve">    {'r1539'    }</t>
  </si>
  <si>
    <t xml:space="preserve">    {'r1567'    }</t>
  </si>
  <si>
    <t xml:space="preserve">    {'r1641'    }</t>
  </si>
  <si>
    <t xml:space="preserve">    {'r1848'    }</t>
  </si>
  <si>
    <t xml:space="preserve">    {'r1972'    }</t>
  </si>
  <si>
    <t xml:space="preserve">    {'r1988'    }</t>
  </si>
  <si>
    <t xml:space="preserve">    {'r2030'    }</t>
  </si>
  <si>
    <t xml:space="preserve">    {'r2185'    }</t>
  </si>
  <si>
    <t xml:space="preserve">    {'r2221'    }</t>
  </si>
  <si>
    <t xml:space="preserve">    {'r2293'    }</t>
  </si>
  <si>
    <t xml:space="preserve">    {'r2470'    }</t>
  </si>
  <si>
    <t xml:space="preserve">    {'r2499'    }</t>
  </si>
  <si>
    <t xml:space="preserve">    {'r2522'    }</t>
  </si>
  <si>
    <t xml:space="preserve">    {'r2554'    }</t>
  </si>
  <si>
    <t xml:space="preserve">    {'r2574'    }</t>
  </si>
  <si>
    <t xml:space="preserve">    {'r2636'    }</t>
  </si>
  <si>
    <t xml:space="preserve">    {'r2707'    }</t>
  </si>
  <si>
    <t xml:space="preserve">    {'r2734'    }</t>
  </si>
  <si>
    <t xml:space="preserve">    {'r2891'    }</t>
  </si>
  <si>
    <t xml:space="preserve">    {'r2978'    }</t>
  </si>
  <si>
    <t xml:space="preserve">    {'r3033'    }</t>
  </si>
  <si>
    <t xml:space="preserve">    {'r3061'    }</t>
  </si>
  <si>
    <t xml:space="preserve">    {'r3066'    }</t>
  </si>
  <si>
    <t xml:space="preserve">    {'r3098'    }</t>
  </si>
  <si>
    <t xml:space="preserve">    {'r3107'    }</t>
  </si>
  <si>
    <t xml:space="preserve">    {'r3130'    }</t>
  </si>
  <si>
    <t xml:space="preserve">    {'r3178'    }</t>
  </si>
  <si>
    <t xml:space="preserve">    {'r3213'    }</t>
  </si>
  <si>
    <t xml:space="preserve">    {'c1298_e_b'}</t>
  </si>
  <si>
    <t xml:space="preserve">    {'c1392_e_b'}</t>
  </si>
  <si>
    <t xml:space="preserve">    {'c1311_e_b'}</t>
  </si>
  <si>
    <t xml:space="preserve">    {'c241_e_b' }</t>
  </si>
  <si>
    <t xml:space="preserve">    {'c1305_e_b'}</t>
  </si>
  <si>
    <t xml:space="preserve">    {'c242_e_b' }</t>
  </si>
  <si>
    <t xml:space="preserve">    {'c1466_e_b'}</t>
  </si>
  <si>
    <t>.rxns</t>
  </si>
  <si>
    <t xml:space="preserve">    {'Methyltransferase (5-methyltetrahydrofolate:corrinoid/iron-sulfur protein)'}</t>
  </si>
  <si>
    <t xml:space="preserve">    {'CO2 transport via diffusion'                                               }</t>
  </si>
  <si>
    <t xml:space="preserve">    {'CO dehydrogenase'                                                          }</t>
  </si>
  <si>
    <t xml:space="preserve">    {'Acetolactate decarboxylase'                                                }</t>
  </si>
  <si>
    <t xml:space="preserve">    {'Methylene tetrahydrofolate reductase, electron bifurcating NADH'           }</t>
  </si>
  <si>
    <t xml:space="preserve">    {'Methenyl-THF cyclohydrolase'                                               }</t>
  </si>
  <si>
    <t xml:space="preserve">    {'H2Ot5'                                                                     }</t>
  </si>
  <si>
    <t xml:space="preserve">    {'Nfn complex'                                                               }</t>
  </si>
  <si>
    <t xml:space="preserve">    {'Acetate kinase'                                                            }</t>
  </si>
  <si>
    <t xml:space="preserve">    {'ATP hydrolysis'                                                            }</t>
  </si>
  <si>
    <t xml:space="preserve">    {'Add (R,R)-2,3-Butanediol to the BDOH pool (adapter reaction)'              }</t>
  </si>
  <si>
    <t xml:space="preserve">    {'ethanol transport'                                                         }</t>
  </si>
  <si>
    <t xml:space="preserve">    {'Hydrogen transport'                                                        }</t>
  </si>
  <si>
    <t xml:space="preserve">    {'Formate-THF ligase'                                                        }</t>
  </si>
  <si>
    <t xml:space="preserve">    {'Acetate transport'                                                         }</t>
  </si>
  <si>
    <t xml:space="preserve">    {'Formate dehydrogenase'                                                     }</t>
  </si>
  <si>
    <t xml:space="preserve">    {'Acetyl-CoA synthase'                                                       }</t>
  </si>
  <si>
    <t xml:space="preserve">    {'Methylene-THF dehydrogenase'                                               }</t>
  </si>
  <si>
    <t xml:space="preserve">    {'Aldehyde ferredoxin oxidoreductase, acetate'                               }</t>
  </si>
  <si>
    <t xml:space="preserve">    {'Acetolactate synthase'                                                     }</t>
  </si>
  <si>
    <t xml:space="preserve">    {'Pyruvate:ferredoxin oxidoreductase'                                        }</t>
  </si>
  <si>
    <t xml:space="preserve">    {'NADP-dependent electron-bifurcating [FeFe]-hydrogenase'                    }</t>
  </si>
  <si>
    <t xml:space="preserve">    {'Butane-2,3-diol transport'                                                 }</t>
  </si>
  <si>
    <t xml:space="preserve">    {'Phosphate transacetylase'                                                  }</t>
  </si>
  <si>
    <t xml:space="preserve">    {'Rnf complex'                                                               }</t>
  </si>
  <si>
    <t xml:space="preserve">    {'F1FO ATP synthase (3.66 protons for one ATP)'                              }</t>
  </si>
  <si>
    <t xml:space="preserve">    {'Alcohol dehydrogenase (ethanol, NADH)'                                     }</t>
  </si>
  <si>
    <t xml:space="preserve">    {'(R,R)-2,3-Butanediol dehydrogenase (NADH)'                                 }</t>
  </si>
  <si>
    <t xml:space="preserve">    {'Ethanol exchange reaction'                                                 }</t>
  </si>
  <si>
    <t xml:space="preserve">    {'H2O exchange reaction'                                                     }</t>
  </si>
  <si>
    <t xml:space="preserve">    {'H2 exchange reaction'                                                      }</t>
  </si>
  <si>
    <t xml:space="preserve">    {'Acetate exchange reaction'                                                 }</t>
  </si>
  <si>
    <t xml:space="preserve">    {'2,3-Butanediol exchange reaction'                                          }</t>
  </si>
  <si>
    <t xml:space="preserve">    {'H+ exchange reaction'                                                      }</t>
  </si>
  <si>
    <t xml:space="preserve">    {'Carbon dioxide exchange reaction'                                          }</t>
  </si>
  <si>
    <t>.rxnNames</t>
  </si>
  <si>
    <t>flux</t>
  </si>
  <si>
    <t>(uptake)</t>
  </si>
  <si>
    <t>(production)</t>
  </si>
  <si>
    <t>Biomass concentration (gdcw/L):</t>
  </si>
  <si>
    <t>LB (mol/L)</t>
  </si>
  <si>
    <t>UB (mol/L)</t>
  </si>
  <si>
    <t>AVG concentration (Mol/L)</t>
  </si>
  <si>
    <t>STD concentration (Mol/L)</t>
  </si>
  <si>
    <t>[1]</t>
  </si>
  <si>
    <t>Wrong</t>
  </si>
  <si>
    <t>OD-specific total cell volume (uL * mL-1 * OD-1)</t>
  </si>
  <si>
    <t>[1]: https://journals.plos.org/plosone/article/file?id=10.1371/journal.pone.0023126&amp;type=printable</t>
  </si>
  <si>
    <t>LB (Mol/L)</t>
  </si>
  <si>
    <t>UB (Mol/L)</t>
  </si>
  <si>
    <t>Data of High Biomass concentration is used. Simulations 4, 5, 6, 10, 11, 15, 16, 20, 21</t>
  </si>
  <si>
    <t>SIM 4</t>
  </si>
  <si>
    <t>SIM 5</t>
  </si>
  <si>
    <t>SIM 6</t>
  </si>
  <si>
    <t>Specific uptake rate (mmol/gDCW/h)</t>
  </si>
  <si>
    <t>CO</t>
  </si>
  <si>
    <r>
      <t>H</t>
    </r>
    <r>
      <rPr>
        <vertAlign val="subscript"/>
        <sz val="11"/>
        <color theme="1"/>
        <rFont val="Arial"/>
        <family val="2"/>
      </rPr>
      <t>2</t>
    </r>
  </si>
  <si>
    <t>Specific production rate (mmol/gDCW/h)</t>
  </si>
  <si>
    <t>Acetate</t>
  </si>
  <si>
    <t>Ethanol</t>
  </si>
  <si>
    <r>
      <t>CO</t>
    </r>
    <r>
      <rPr>
        <vertAlign val="subscript"/>
        <sz val="11"/>
        <color theme="1"/>
        <rFont val="Arial"/>
        <family val="2"/>
      </rPr>
      <t>2</t>
    </r>
  </si>
  <si>
    <t>2,3-BDO</t>
  </si>
  <si>
    <t>SIM 10</t>
  </si>
  <si>
    <t>SIM 11</t>
  </si>
  <si>
    <t>SIM 15</t>
  </si>
  <si>
    <t>SIM 16</t>
  </si>
  <si>
    <t>SIM 20</t>
  </si>
  <si>
    <t>SIM 21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</si>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</sst>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E+00"/>
    <numFmt numFmtId="165" formatCode="#,##0.0"/>
    <numFmt numFmtId="166" formatCode="0.000"/>
    <numFmt numFmtId="168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color rgb="FF0061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bscript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5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1" fillId="0" borderId="2" xfId="1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6" fontId="1" fillId="0" borderId="3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166" fontId="2" fillId="0" borderId="0" xfId="0" applyNumberFormat="1" applyFont="1" applyAlignment="1">
      <alignment vertical="center" wrapText="1"/>
    </xf>
    <xf numFmtId="2" fontId="1" fillId="0" borderId="0" xfId="1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168" fontId="0" fillId="0" borderId="0" xfId="0" applyNumberFormat="1"/>
    <xf numFmtId="168" fontId="2" fillId="0" borderId="0" xfId="0" applyNumberFormat="1" applyFont="1" applyAlignment="1">
      <alignment horizontal="right" vertic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CBDF-271E-4FA1-91E3-187C5AE087E4}">
  <dimension ref="B3:N18"/>
  <sheetViews>
    <sheetView workbookViewId="0">
      <selection activeCell="F9" sqref="F9"/>
    </sheetView>
  </sheetViews>
  <sheetFormatPr baseColWidth="10" defaultColWidth="8.88671875" defaultRowHeight="14.4" x14ac:dyDescent="0.3"/>
  <cols>
    <col min="2" max="2" width="40.6640625" customWidth="1"/>
    <col min="3" max="3" width="18.33203125" customWidth="1"/>
    <col min="4" max="6" width="18.6640625" customWidth="1"/>
    <col min="7" max="7" width="14" customWidth="1"/>
    <col min="8" max="8" width="13.5546875" customWidth="1"/>
    <col min="9" max="9" width="12.33203125" customWidth="1"/>
    <col min="10" max="10" width="19.88671875" customWidth="1"/>
    <col min="11" max="12" width="9" bestFit="1" customWidth="1"/>
    <col min="13" max="13" width="12" bestFit="1" customWidth="1"/>
    <col min="14" max="14" width="18.6640625" customWidth="1"/>
    <col min="15" max="15" width="17.44140625" customWidth="1"/>
  </cols>
  <sheetData>
    <row r="3" spans="2:14" x14ac:dyDescent="0.3">
      <c r="B3" t="s">
        <v>165</v>
      </c>
      <c r="C3">
        <v>1.4</v>
      </c>
    </row>
    <row r="4" spans="2:14" x14ac:dyDescent="0.3">
      <c r="B4" t="s">
        <v>172</v>
      </c>
      <c r="C4" s="8">
        <v>3.4</v>
      </c>
      <c r="D4" t="s">
        <v>170</v>
      </c>
    </row>
    <row r="6" spans="2:14" x14ac:dyDescent="0.3">
      <c r="I6" s="13" t="s">
        <v>171</v>
      </c>
      <c r="J6" s="13"/>
      <c r="K6" s="9"/>
      <c r="L6" s="9"/>
      <c r="M6" s="9"/>
      <c r="N6" s="9"/>
    </row>
    <row r="7" spans="2:14" ht="43.8" thickBot="1" x14ac:dyDescent="0.35">
      <c r="B7" s="1" t="s">
        <v>0</v>
      </c>
      <c r="C7" s="3" t="s">
        <v>9</v>
      </c>
      <c r="D7" s="3" t="s">
        <v>10</v>
      </c>
      <c r="E7" s="3" t="s">
        <v>168</v>
      </c>
      <c r="F7" s="3" t="s">
        <v>169</v>
      </c>
      <c r="G7" s="3" t="s">
        <v>174</v>
      </c>
      <c r="H7" s="3" t="s">
        <v>175</v>
      </c>
      <c r="I7" s="10" t="s">
        <v>168</v>
      </c>
      <c r="J7" s="10" t="s">
        <v>169</v>
      </c>
      <c r="K7" s="11" t="s">
        <v>11</v>
      </c>
      <c r="L7" s="11" t="s">
        <v>12</v>
      </c>
      <c r="M7" s="11" t="s">
        <v>166</v>
      </c>
      <c r="N7" s="11" t="s">
        <v>167</v>
      </c>
    </row>
    <row r="8" spans="2:14" x14ac:dyDescent="0.3">
      <c r="B8" s="6" t="s">
        <v>1</v>
      </c>
      <c r="C8" s="2">
        <v>7.3432219625509283E-3</v>
      </c>
      <c r="D8" s="2"/>
      <c r="E8">
        <f>C8/$C$4*10^(-3)</f>
        <v>2.1597711654561552E-6</v>
      </c>
      <c r="F8">
        <f>D8/$C$4*10^(-3)</f>
        <v>0</v>
      </c>
      <c r="G8">
        <f>E8-2*F8</f>
        <v>2.1597711654561552E-6</v>
      </c>
      <c r="H8">
        <f>E8+2*F8</f>
        <v>2.1597711654561552E-6</v>
      </c>
      <c r="I8" s="12">
        <f t="shared" ref="I8:I15" si="0">C8*$C$3*10^(-6)</f>
        <v>1.0280510747571298E-8</v>
      </c>
      <c r="J8" s="12"/>
      <c r="K8" s="9">
        <f t="shared" ref="K8:K15" si="1">C8-2*D8</f>
        <v>7.3432219625509283E-3</v>
      </c>
      <c r="L8" s="9">
        <f t="shared" ref="L8:L15" si="2">C8+2*D8</f>
        <v>7.3432219625509283E-3</v>
      </c>
      <c r="M8" s="9">
        <f>K8*$C$3*10^(-6)</f>
        <v>1.0280510747571298E-8</v>
      </c>
      <c r="N8" s="9">
        <f t="shared" ref="N8:N15" si="3">L8*$C$3*10^(-6)</f>
        <v>1.0280510747571298E-8</v>
      </c>
    </row>
    <row r="9" spans="2:14" x14ac:dyDescent="0.3">
      <c r="B9" s="6" t="s">
        <v>2</v>
      </c>
      <c r="C9" s="2">
        <v>0.55721610936155042</v>
      </c>
      <c r="D9" s="2">
        <v>0.14238397796419966</v>
      </c>
      <c r="E9">
        <f t="shared" ref="E9:E15" si="4">C9/$C$4*10^(-3)</f>
        <v>1.6388709098869131E-4</v>
      </c>
      <c r="F9">
        <f t="shared" ref="F9:F15" si="5">D9/$C$4*10^(-3)</f>
        <v>4.1877640577705787E-5</v>
      </c>
      <c r="G9">
        <f t="shared" ref="G9:G15" si="6">E9-2*F9</f>
        <v>8.0131809833279736E-5</v>
      </c>
      <c r="H9">
        <f t="shared" ref="H9:H15" si="7">E9+2*F9</f>
        <v>2.4764237214410287E-4</v>
      </c>
      <c r="I9" s="12">
        <f t="shared" si="0"/>
        <v>7.801025531061705E-7</v>
      </c>
      <c r="J9" s="12">
        <f t="shared" ref="J9:J15" si="8">D9*$C$3*10^(-6)</f>
        <v>1.9933756914987952E-7</v>
      </c>
      <c r="K9" s="9">
        <f t="shared" si="1"/>
        <v>0.2724481534331511</v>
      </c>
      <c r="L9" s="9">
        <f t="shared" si="2"/>
        <v>0.84198406528994973</v>
      </c>
      <c r="M9" s="9">
        <f>K9*$C$3*10^(-6)</f>
        <v>3.8142741480641151E-7</v>
      </c>
      <c r="N9" s="9">
        <f t="shared" si="3"/>
        <v>1.1787776914059294E-6</v>
      </c>
    </row>
    <row r="10" spans="2:14" x14ac:dyDescent="0.3">
      <c r="B10" s="6" t="s">
        <v>3</v>
      </c>
      <c r="C10" s="2">
        <v>0.27216820481476139</v>
      </c>
      <c r="D10" s="2">
        <v>0.11344807851622643</v>
      </c>
      <c r="E10">
        <f t="shared" si="4"/>
        <v>8.0049472004341596E-5</v>
      </c>
      <c r="F10">
        <f t="shared" si="5"/>
        <v>3.3367081916537187E-5</v>
      </c>
      <c r="G10">
        <f t="shared" si="6"/>
        <v>1.3315308171267222E-5</v>
      </c>
      <c r="H10">
        <f t="shared" si="7"/>
        <v>1.4678363583741597E-4</v>
      </c>
      <c r="I10" s="12">
        <f t="shared" si="0"/>
        <v>3.8103548674066595E-7</v>
      </c>
      <c r="J10" s="12">
        <f t="shared" si="8"/>
        <v>1.5882730992271699E-7</v>
      </c>
      <c r="K10" s="9">
        <f t="shared" si="1"/>
        <v>4.5272047782308533E-2</v>
      </c>
      <c r="L10" s="9">
        <f t="shared" si="2"/>
        <v>0.49906436184721426</v>
      </c>
      <c r="M10" s="9">
        <f t="shared" ref="M10:M15" si="9">K10*$C$3*10^(-6)</f>
        <v>6.3380866895231935E-8</v>
      </c>
      <c r="N10" s="9">
        <f t="shared" si="3"/>
        <v>6.9869010658609987E-7</v>
      </c>
    </row>
    <row r="11" spans="2:14" x14ac:dyDescent="0.3">
      <c r="B11" s="6" t="s">
        <v>4</v>
      </c>
      <c r="C11" s="2">
        <v>4.3055496494624999</v>
      </c>
      <c r="D11" s="2">
        <v>0.3892518717142216</v>
      </c>
      <c r="E11">
        <f t="shared" si="4"/>
        <v>1.266338132194853E-3</v>
      </c>
      <c r="F11">
        <f t="shared" si="5"/>
        <v>1.1448584462182989E-4</v>
      </c>
      <c r="G11">
        <f t="shared" si="6"/>
        <v>1.0373664429511932E-3</v>
      </c>
      <c r="H11">
        <f t="shared" si="7"/>
        <v>1.4953098214385129E-3</v>
      </c>
      <c r="I11" s="12">
        <f t="shared" si="0"/>
        <v>6.0277695092474992E-6</v>
      </c>
      <c r="J11" s="12">
        <f t="shared" si="8"/>
        <v>5.4495262039991024E-7</v>
      </c>
      <c r="K11" s="9">
        <f t="shared" si="1"/>
        <v>3.5270459060340569</v>
      </c>
      <c r="L11" s="9">
        <f t="shared" si="2"/>
        <v>5.0840533928909428</v>
      </c>
      <c r="M11" s="9">
        <f t="shared" si="9"/>
        <v>4.9378642684476791E-6</v>
      </c>
      <c r="N11" s="9">
        <f t="shared" si="3"/>
        <v>7.1176747500473192E-6</v>
      </c>
    </row>
    <row r="12" spans="2:14" x14ac:dyDescent="0.3">
      <c r="B12" s="6" t="s">
        <v>5</v>
      </c>
      <c r="C12" s="2">
        <v>2.9439439028372677E-2</v>
      </c>
      <c r="D12" s="2">
        <v>1.3513019713472201E-2</v>
      </c>
      <c r="E12">
        <f t="shared" si="4"/>
        <v>8.6586585377566702E-6</v>
      </c>
      <c r="F12">
        <f>D12/$C$4*10^(-3)</f>
        <v>3.9744175627859411E-6</v>
      </c>
      <c r="G12">
        <f t="shared" si="6"/>
        <v>7.0982341218478805E-7</v>
      </c>
      <c r="H12">
        <f t="shared" si="7"/>
        <v>1.6607493663328551E-5</v>
      </c>
      <c r="I12" s="12">
        <f t="shared" si="0"/>
        <v>4.1215214639721743E-8</v>
      </c>
      <c r="J12" s="12">
        <f t="shared" si="8"/>
        <v>1.8918227598861082E-8</v>
      </c>
      <c r="K12" s="9">
        <f t="shared" si="1"/>
        <v>2.4133996014282753E-3</v>
      </c>
      <c r="L12" s="9">
        <f t="shared" si="2"/>
        <v>5.6465478455317075E-2</v>
      </c>
      <c r="M12" s="9">
        <f t="shared" si="9"/>
        <v>3.3787594419995851E-9</v>
      </c>
      <c r="N12" s="9">
        <f t="shared" si="3"/>
        <v>7.9051669837443888E-8</v>
      </c>
    </row>
    <row r="13" spans="2:14" x14ac:dyDescent="0.3">
      <c r="B13" s="6" t="s">
        <v>6</v>
      </c>
      <c r="C13" s="2">
        <v>1.7740167017851434</v>
      </c>
      <c r="D13" s="2">
        <v>2.4420357686811719E-2</v>
      </c>
      <c r="E13">
        <f t="shared" si="4"/>
        <v>5.2176961817210102E-4</v>
      </c>
      <c r="F13">
        <f t="shared" si="5"/>
        <v>7.182458143179918E-6</v>
      </c>
      <c r="G13">
        <f t="shared" si="6"/>
        <v>5.0740470188574119E-4</v>
      </c>
      <c r="H13">
        <f t="shared" si="7"/>
        <v>5.3613453445846085E-4</v>
      </c>
      <c r="I13" s="12">
        <f t="shared" si="0"/>
        <v>2.4836233824992003E-6</v>
      </c>
      <c r="J13" s="12">
        <f t="shared" si="8"/>
        <v>3.4188500761536408E-8</v>
      </c>
      <c r="K13" s="9">
        <f t="shared" si="1"/>
        <v>1.7251759864115199</v>
      </c>
      <c r="L13" s="9">
        <f t="shared" si="2"/>
        <v>1.8228574171587668</v>
      </c>
      <c r="M13" s="9">
        <f t="shared" si="9"/>
        <v>2.4152463809761278E-6</v>
      </c>
      <c r="N13" s="9">
        <f t="shared" si="3"/>
        <v>2.5520003840222736E-6</v>
      </c>
    </row>
    <row r="14" spans="2:14" x14ac:dyDescent="0.3">
      <c r="B14" s="6" t="s">
        <v>7</v>
      </c>
      <c r="C14" s="2">
        <v>0.13574995742650686</v>
      </c>
      <c r="D14" s="2">
        <v>9.6666611627749723E-3</v>
      </c>
      <c r="E14">
        <f t="shared" si="4"/>
        <v>3.9926458066619666E-5</v>
      </c>
      <c r="F14">
        <f t="shared" si="5"/>
        <v>2.8431356361102863E-6</v>
      </c>
      <c r="G14">
        <f t="shared" si="6"/>
        <v>3.4240186794399092E-5</v>
      </c>
      <c r="H14">
        <f>E14+2*F14</f>
        <v>4.561272933884024E-5</v>
      </c>
      <c r="I14" s="12">
        <f t="shared" si="0"/>
        <v>1.9004994039710959E-7</v>
      </c>
      <c r="J14" s="12">
        <f t="shared" si="8"/>
        <v>1.3533325627884959E-8</v>
      </c>
      <c r="K14" s="9">
        <f t="shared" si="1"/>
        <v>0.11641663510095691</v>
      </c>
      <c r="L14" s="9">
        <f t="shared" si="2"/>
        <v>0.1550832797520568</v>
      </c>
      <c r="M14" s="9">
        <f t="shared" si="9"/>
        <v>1.6298328914133966E-7</v>
      </c>
      <c r="N14" s="9">
        <f t="shared" si="3"/>
        <v>2.1711659165287949E-7</v>
      </c>
    </row>
    <row r="15" spans="2:14" x14ac:dyDescent="0.3">
      <c r="B15" s="6" t="s">
        <v>8</v>
      </c>
      <c r="C15" s="2">
        <v>0.19360428545507891</v>
      </c>
      <c r="D15" s="2">
        <v>3.6408063099370579E-2</v>
      </c>
      <c r="E15">
        <f t="shared" si="4"/>
        <v>5.6942436898552619E-5</v>
      </c>
      <c r="F15">
        <f t="shared" si="5"/>
        <v>1.0708253852756053E-5</v>
      </c>
      <c r="G15">
        <f t="shared" si="6"/>
        <v>3.5525929193040514E-5</v>
      </c>
      <c r="H15">
        <f t="shared" si="7"/>
        <v>7.8358944604064724E-5</v>
      </c>
      <c r="I15" s="12">
        <f t="shared" si="0"/>
        <v>2.7104599963711047E-7</v>
      </c>
      <c r="J15" s="12">
        <f t="shared" si="8"/>
        <v>5.0971288339118805E-8</v>
      </c>
      <c r="K15" s="9">
        <f t="shared" si="1"/>
        <v>0.12078815925633775</v>
      </c>
      <c r="L15" s="9">
        <f t="shared" si="2"/>
        <v>0.26642041165382008</v>
      </c>
      <c r="M15" s="9">
        <f t="shared" si="9"/>
        <v>1.6910342295887285E-7</v>
      </c>
      <c r="N15" s="9">
        <f t="shared" si="3"/>
        <v>3.7298857631534807E-7</v>
      </c>
    </row>
    <row r="18" spans="2:2" x14ac:dyDescent="0.3">
      <c r="B18" s="7" t="s">
        <v>173</v>
      </c>
    </row>
  </sheetData>
  <mergeCells count="1">
    <mergeCell ref="I6:J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1687-6425-4706-B05F-9CC693611940}">
  <dimension ref="B4:D44"/>
  <sheetViews>
    <sheetView topLeftCell="A16" workbookViewId="0">
      <selection activeCell="E29" sqref="E29"/>
    </sheetView>
  </sheetViews>
  <sheetFormatPr baseColWidth="10" defaultRowHeight="14.4" x14ac:dyDescent="0.3"/>
  <sheetData>
    <row r="4" spans="2:4" x14ac:dyDescent="0.3">
      <c r="B4" t="s">
        <v>47</v>
      </c>
      <c r="C4" t="s">
        <v>46</v>
      </c>
    </row>
    <row r="5" spans="2:4" x14ac:dyDescent="0.3">
      <c r="B5" t="s">
        <v>13</v>
      </c>
      <c r="C5" t="s">
        <v>48</v>
      </c>
      <c r="D5" t="s">
        <v>88</v>
      </c>
    </row>
    <row r="6" spans="2:4" x14ac:dyDescent="0.3">
      <c r="B6" t="s">
        <v>13</v>
      </c>
      <c r="C6" t="s">
        <v>49</v>
      </c>
      <c r="D6" t="s">
        <v>88</v>
      </c>
    </row>
    <row r="7" spans="2:4" x14ac:dyDescent="0.3">
      <c r="B7" t="s">
        <v>14</v>
      </c>
      <c r="C7" t="s">
        <v>50</v>
      </c>
      <c r="D7" t="s">
        <v>88</v>
      </c>
    </row>
    <row r="8" spans="2:4" x14ac:dyDescent="0.3">
      <c r="B8" t="s">
        <v>15</v>
      </c>
      <c r="C8" t="s">
        <v>51</v>
      </c>
      <c r="D8" t="s">
        <v>89</v>
      </c>
    </row>
    <row r="9" spans="2:4" x14ac:dyDescent="0.3">
      <c r="B9" t="s">
        <v>16</v>
      </c>
      <c r="C9" t="s">
        <v>52</v>
      </c>
      <c r="D9" t="s">
        <v>89</v>
      </c>
    </row>
    <row r="10" spans="2:4" x14ac:dyDescent="0.3">
      <c r="B10" t="s">
        <v>17</v>
      </c>
      <c r="C10" t="s">
        <v>53</v>
      </c>
      <c r="D10" t="s">
        <v>89</v>
      </c>
    </row>
    <row r="11" spans="2:4" x14ac:dyDescent="0.3">
      <c r="B11" t="s">
        <v>18</v>
      </c>
      <c r="C11" t="s">
        <v>54</v>
      </c>
      <c r="D11" t="s">
        <v>89</v>
      </c>
    </row>
    <row r="12" spans="2:4" x14ac:dyDescent="0.3">
      <c r="B12" t="s">
        <v>19</v>
      </c>
      <c r="C12" t="s">
        <v>55</v>
      </c>
      <c r="D12" t="s">
        <v>89</v>
      </c>
    </row>
    <row r="13" spans="2:4" x14ac:dyDescent="0.3">
      <c r="B13" t="s">
        <v>20</v>
      </c>
      <c r="C13" t="s">
        <v>56</v>
      </c>
      <c r="D13" t="s">
        <v>89</v>
      </c>
    </row>
    <row r="14" spans="2:4" x14ac:dyDescent="0.3">
      <c r="B14" t="s">
        <v>21</v>
      </c>
      <c r="C14" t="s">
        <v>57</v>
      </c>
      <c r="D14" t="s">
        <v>88</v>
      </c>
    </row>
    <row r="15" spans="2:4" x14ac:dyDescent="0.3">
      <c r="B15" t="s">
        <v>22</v>
      </c>
      <c r="C15" t="s">
        <v>58</v>
      </c>
      <c r="D15" t="s">
        <v>88</v>
      </c>
    </row>
    <row r="16" spans="2:4" x14ac:dyDescent="0.3">
      <c r="B16" t="s">
        <v>23</v>
      </c>
      <c r="C16" t="s">
        <v>59</v>
      </c>
      <c r="D16" t="s">
        <v>88</v>
      </c>
    </row>
    <row r="17" spans="2:4" x14ac:dyDescent="0.3">
      <c r="B17" t="s">
        <v>24</v>
      </c>
      <c r="C17" t="s">
        <v>60</v>
      </c>
      <c r="D17" t="s">
        <v>88</v>
      </c>
    </row>
    <row r="18" spans="2:4" x14ac:dyDescent="0.3">
      <c r="B18" t="s">
        <v>25</v>
      </c>
      <c r="C18" t="s">
        <v>61</v>
      </c>
      <c r="D18" t="s">
        <v>89</v>
      </c>
    </row>
    <row r="19" spans="2:4" x14ac:dyDescent="0.3">
      <c r="B19" t="s">
        <v>26</v>
      </c>
      <c r="C19" t="s">
        <v>62</v>
      </c>
      <c r="D19" t="s">
        <v>89</v>
      </c>
    </row>
    <row r="20" spans="2:4" x14ac:dyDescent="0.3">
      <c r="B20" t="s">
        <v>27</v>
      </c>
      <c r="C20" t="s">
        <v>63</v>
      </c>
      <c r="D20" t="s">
        <v>89</v>
      </c>
    </row>
    <row r="21" spans="2:4" x14ac:dyDescent="0.3">
      <c r="B21" t="s">
        <v>28</v>
      </c>
      <c r="C21" t="s">
        <v>64</v>
      </c>
      <c r="D21" t="s">
        <v>89</v>
      </c>
    </row>
    <row r="22" spans="2:4" x14ac:dyDescent="0.3">
      <c r="B22" t="s">
        <v>29</v>
      </c>
      <c r="C22" t="s">
        <v>65</v>
      </c>
      <c r="D22" t="s">
        <v>89</v>
      </c>
    </row>
    <row r="23" spans="2:4" x14ac:dyDescent="0.3">
      <c r="B23" t="s">
        <v>29</v>
      </c>
      <c r="C23" t="s">
        <v>66</v>
      </c>
      <c r="D23" t="s">
        <v>89</v>
      </c>
    </row>
    <row r="24" spans="2:4" x14ac:dyDescent="0.3">
      <c r="B24" t="s">
        <v>30</v>
      </c>
      <c r="C24" t="s">
        <v>67</v>
      </c>
      <c r="D24" t="s">
        <v>89</v>
      </c>
    </row>
    <row r="25" spans="2:4" x14ac:dyDescent="0.3">
      <c r="B25" t="s">
        <v>31</v>
      </c>
      <c r="C25" t="s">
        <v>68</v>
      </c>
      <c r="D25" t="s">
        <v>89</v>
      </c>
    </row>
    <row r="26" spans="2:4" x14ac:dyDescent="0.3">
      <c r="B26" t="s">
        <v>32</v>
      </c>
      <c r="C26" t="s">
        <v>69</v>
      </c>
      <c r="D26" t="s">
        <v>89</v>
      </c>
    </row>
    <row r="27" spans="2:4" x14ac:dyDescent="0.3">
      <c r="B27" t="s">
        <v>33</v>
      </c>
      <c r="C27" t="s">
        <v>70</v>
      </c>
      <c r="D27" t="s">
        <v>88</v>
      </c>
    </row>
    <row r="28" spans="2:4" x14ac:dyDescent="0.3">
      <c r="B28" t="s">
        <v>34</v>
      </c>
      <c r="C28" t="s">
        <v>71</v>
      </c>
      <c r="D28" t="s">
        <v>89</v>
      </c>
    </row>
    <row r="29" spans="2:4" x14ac:dyDescent="0.3">
      <c r="B29" t="s">
        <v>35</v>
      </c>
      <c r="C29" t="s">
        <v>72</v>
      </c>
      <c r="D29" t="s">
        <v>89</v>
      </c>
    </row>
    <row r="30" spans="2:4" x14ac:dyDescent="0.3">
      <c r="B30" t="s">
        <v>36</v>
      </c>
      <c r="C30" t="s">
        <v>73</v>
      </c>
      <c r="D30" t="s">
        <v>89</v>
      </c>
    </row>
    <row r="31" spans="2:4" x14ac:dyDescent="0.3">
      <c r="B31" t="s">
        <v>37</v>
      </c>
      <c r="C31" t="s">
        <v>74</v>
      </c>
      <c r="D31" t="s">
        <v>88</v>
      </c>
    </row>
    <row r="32" spans="2:4" x14ac:dyDescent="0.3">
      <c r="B32" t="s">
        <v>38</v>
      </c>
      <c r="C32" t="s">
        <v>75</v>
      </c>
      <c r="D32" t="s">
        <v>89</v>
      </c>
    </row>
    <row r="33" spans="2:4" x14ac:dyDescent="0.3">
      <c r="B33" t="s">
        <v>39</v>
      </c>
      <c r="C33" t="s">
        <v>76</v>
      </c>
      <c r="D33" t="s">
        <v>89</v>
      </c>
    </row>
    <row r="34" spans="2:4" x14ac:dyDescent="0.3">
      <c r="B34" t="s">
        <v>40</v>
      </c>
      <c r="C34" t="s">
        <v>77</v>
      </c>
      <c r="D34" t="s">
        <v>88</v>
      </c>
    </row>
    <row r="35" spans="2:4" x14ac:dyDescent="0.3">
      <c r="B35" t="s">
        <v>41</v>
      </c>
      <c r="C35" t="s">
        <v>78</v>
      </c>
      <c r="D35" t="s">
        <v>89</v>
      </c>
    </row>
    <row r="36" spans="2:4" x14ac:dyDescent="0.3">
      <c r="B36" t="s">
        <v>42</v>
      </c>
      <c r="C36" t="s">
        <v>79</v>
      </c>
      <c r="D36" t="s">
        <v>89</v>
      </c>
    </row>
    <row r="37" spans="2:4" x14ac:dyDescent="0.3">
      <c r="B37" t="s">
        <v>43</v>
      </c>
      <c r="C37" t="s">
        <v>80</v>
      </c>
      <c r="D37" t="s">
        <v>89</v>
      </c>
    </row>
    <row r="38" spans="2:4" x14ac:dyDescent="0.3">
      <c r="B38" t="s">
        <v>14</v>
      </c>
      <c r="C38" t="s">
        <v>81</v>
      </c>
      <c r="D38" t="s">
        <v>88</v>
      </c>
    </row>
    <row r="39" spans="2:4" x14ac:dyDescent="0.3">
      <c r="B39" t="s">
        <v>44</v>
      </c>
      <c r="C39" t="s">
        <v>82</v>
      </c>
      <c r="D39" t="s">
        <v>88</v>
      </c>
    </row>
    <row r="40" spans="2:4" x14ac:dyDescent="0.3">
      <c r="B40" t="s">
        <v>45</v>
      </c>
      <c r="C40" t="s">
        <v>83</v>
      </c>
      <c r="D40" t="s">
        <v>89</v>
      </c>
    </row>
    <row r="41" spans="2:4" x14ac:dyDescent="0.3">
      <c r="B41" t="s">
        <v>45</v>
      </c>
      <c r="C41" t="s">
        <v>84</v>
      </c>
      <c r="D41" t="s">
        <v>89</v>
      </c>
    </row>
    <row r="42" spans="2:4" x14ac:dyDescent="0.3">
      <c r="B42" t="s">
        <v>35</v>
      </c>
      <c r="C42" t="s">
        <v>85</v>
      </c>
      <c r="D42" t="s">
        <v>89</v>
      </c>
    </row>
    <row r="43" spans="2:4" x14ac:dyDescent="0.3">
      <c r="B43" t="s">
        <v>41</v>
      </c>
      <c r="C43" t="s">
        <v>86</v>
      </c>
      <c r="D43" t="s">
        <v>89</v>
      </c>
    </row>
    <row r="44" spans="2:4" x14ac:dyDescent="0.3">
      <c r="B44" t="s">
        <v>32</v>
      </c>
      <c r="C44" t="s">
        <v>87</v>
      </c>
      <c r="D4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E8FA-4E71-4F59-9A02-D509FD6ECC64}">
  <dimension ref="E4:H39"/>
  <sheetViews>
    <sheetView topLeftCell="A19" workbookViewId="0">
      <selection activeCell="K19" sqref="K19"/>
    </sheetView>
  </sheetViews>
  <sheetFormatPr baseColWidth="10" defaultColWidth="8.88671875" defaultRowHeight="14.4" x14ac:dyDescent="0.3"/>
  <cols>
    <col min="5" max="5" width="17" customWidth="1"/>
    <col min="6" max="6" width="73.44140625" customWidth="1"/>
    <col min="8" max="8" width="14.5546875" customWidth="1"/>
    <col min="10" max="10" width="9.109375" customWidth="1"/>
  </cols>
  <sheetData>
    <row r="4" spans="5:7" x14ac:dyDescent="0.3">
      <c r="E4" t="s">
        <v>125</v>
      </c>
      <c r="F4" t="s">
        <v>161</v>
      </c>
      <c r="G4" t="s">
        <v>162</v>
      </c>
    </row>
    <row r="5" spans="5:7" x14ac:dyDescent="0.3">
      <c r="E5" t="s">
        <v>90</v>
      </c>
      <c r="F5" t="s">
        <v>126</v>
      </c>
    </row>
    <row r="6" spans="5:7" x14ac:dyDescent="0.3">
      <c r="E6" t="s">
        <v>91</v>
      </c>
      <c r="F6" t="s">
        <v>127</v>
      </c>
    </row>
    <row r="7" spans="5:7" x14ac:dyDescent="0.3">
      <c r="E7" t="s">
        <v>92</v>
      </c>
      <c r="F7" t="s">
        <v>128</v>
      </c>
    </row>
    <row r="8" spans="5:7" x14ac:dyDescent="0.3">
      <c r="E8" t="s">
        <v>93</v>
      </c>
      <c r="F8" t="s">
        <v>129</v>
      </c>
    </row>
    <row r="9" spans="5:7" x14ac:dyDescent="0.3">
      <c r="E9" t="s">
        <v>94</v>
      </c>
      <c r="F9" t="s">
        <v>130</v>
      </c>
    </row>
    <row r="10" spans="5:7" x14ac:dyDescent="0.3">
      <c r="E10" t="s">
        <v>95</v>
      </c>
      <c r="F10" t="s">
        <v>131</v>
      </c>
    </row>
    <row r="11" spans="5:7" x14ac:dyDescent="0.3">
      <c r="E11" t="s">
        <v>96</v>
      </c>
      <c r="F11" t="s">
        <v>132</v>
      </c>
    </row>
    <row r="12" spans="5:7" x14ac:dyDescent="0.3">
      <c r="E12" t="s">
        <v>97</v>
      </c>
      <c r="F12" t="s">
        <v>133</v>
      </c>
    </row>
    <row r="13" spans="5:7" x14ac:dyDescent="0.3">
      <c r="E13" t="s">
        <v>98</v>
      </c>
      <c r="F13" t="s">
        <v>134</v>
      </c>
    </row>
    <row r="14" spans="5:7" x14ac:dyDescent="0.3">
      <c r="E14" t="s">
        <v>99</v>
      </c>
      <c r="F14" t="s">
        <v>135</v>
      </c>
    </row>
    <row r="15" spans="5:7" x14ac:dyDescent="0.3">
      <c r="E15" t="s">
        <v>100</v>
      </c>
      <c r="F15" t="s">
        <v>136</v>
      </c>
    </row>
    <row r="16" spans="5:7" x14ac:dyDescent="0.3">
      <c r="E16" t="s">
        <v>101</v>
      </c>
      <c r="F16" t="s">
        <v>137</v>
      </c>
    </row>
    <row r="17" spans="5:6" x14ac:dyDescent="0.3">
      <c r="E17" t="s">
        <v>102</v>
      </c>
      <c r="F17" t="s">
        <v>138</v>
      </c>
    </row>
    <row r="18" spans="5:6" x14ac:dyDescent="0.3">
      <c r="E18" t="s">
        <v>103</v>
      </c>
      <c r="F18" t="s">
        <v>139</v>
      </c>
    </row>
    <row r="19" spans="5:6" x14ac:dyDescent="0.3">
      <c r="E19" t="s">
        <v>104</v>
      </c>
      <c r="F19" t="s">
        <v>140</v>
      </c>
    </row>
    <row r="20" spans="5:6" x14ac:dyDescent="0.3">
      <c r="E20" t="s">
        <v>105</v>
      </c>
      <c r="F20" t="s">
        <v>141</v>
      </c>
    </row>
    <row r="21" spans="5:6" x14ac:dyDescent="0.3">
      <c r="E21" t="s">
        <v>106</v>
      </c>
      <c r="F21" t="s">
        <v>142</v>
      </c>
    </row>
    <row r="22" spans="5:6" x14ac:dyDescent="0.3">
      <c r="E22" t="s">
        <v>107</v>
      </c>
      <c r="F22" t="s">
        <v>143</v>
      </c>
    </row>
    <row r="23" spans="5:6" x14ac:dyDescent="0.3">
      <c r="E23" t="s">
        <v>108</v>
      </c>
      <c r="F23" t="s">
        <v>144</v>
      </c>
    </row>
    <row r="24" spans="5:6" x14ac:dyDescent="0.3">
      <c r="E24" t="s">
        <v>109</v>
      </c>
      <c r="F24" t="s">
        <v>145</v>
      </c>
    </row>
    <row r="25" spans="5:6" x14ac:dyDescent="0.3">
      <c r="E25" t="s">
        <v>110</v>
      </c>
      <c r="F25" t="s">
        <v>146</v>
      </c>
    </row>
    <row r="26" spans="5:6" x14ac:dyDescent="0.3">
      <c r="E26" t="s">
        <v>111</v>
      </c>
      <c r="F26" t="s">
        <v>147</v>
      </c>
    </row>
    <row r="27" spans="5:6" x14ac:dyDescent="0.3">
      <c r="E27" t="s">
        <v>112</v>
      </c>
      <c r="F27" t="s">
        <v>148</v>
      </c>
    </row>
    <row r="28" spans="5:6" x14ac:dyDescent="0.3">
      <c r="E28" t="s">
        <v>113</v>
      </c>
      <c r="F28" t="s">
        <v>149</v>
      </c>
    </row>
    <row r="29" spans="5:6" x14ac:dyDescent="0.3">
      <c r="E29" t="s">
        <v>114</v>
      </c>
      <c r="F29" t="s">
        <v>150</v>
      </c>
    </row>
    <row r="30" spans="5:6" x14ac:dyDescent="0.3">
      <c r="E30" t="s">
        <v>115</v>
      </c>
      <c r="F30" t="s">
        <v>151</v>
      </c>
    </row>
    <row r="31" spans="5:6" x14ac:dyDescent="0.3">
      <c r="E31" t="s">
        <v>116</v>
      </c>
      <c r="F31" t="s">
        <v>152</v>
      </c>
    </row>
    <row r="32" spans="5:6" x14ac:dyDescent="0.3">
      <c r="E32" t="s">
        <v>117</v>
      </c>
      <c r="F32" t="s">
        <v>153</v>
      </c>
    </row>
    <row r="33" spans="5:8" x14ac:dyDescent="0.3">
      <c r="E33" t="s">
        <v>118</v>
      </c>
      <c r="F33" t="s">
        <v>154</v>
      </c>
      <c r="G33">
        <v>3.74</v>
      </c>
      <c r="H33" t="s">
        <v>164</v>
      </c>
    </row>
    <row r="34" spans="5:8" x14ac:dyDescent="0.3">
      <c r="E34" t="s">
        <v>119</v>
      </c>
      <c r="F34" t="s">
        <v>155</v>
      </c>
    </row>
    <row r="35" spans="5:8" x14ac:dyDescent="0.3">
      <c r="E35" t="s">
        <v>120</v>
      </c>
      <c r="F35" t="s">
        <v>156</v>
      </c>
      <c r="G35" s="4">
        <v>12.873000000000001</v>
      </c>
      <c r="H35" t="s">
        <v>163</v>
      </c>
    </row>
    <row r="36" spans="5:8" x14ac:dyDescent="0.3">
      <c r="E36" t="s">
        <v>121</v>
      </c>
      <c r="F36" t="s">
        <v>157</v>
      </c>
      <c r="G36">
        <v>4.25</v>
      </c>
      <c r="H36" t="s">
        <v>164</v>
      </c>
    </row>
    <row r="37" spans="5:8" x14ac:dyDescent="0.3">
      <c r="E37" t="s">
        <v>122</v>
      </c>
      <c r="F37" t="s">
        <v>158</v>
      </c>
      <c r="G37" s="5">
        <v>0.09</v>
      </c>
      <c r="H37" t="s">
        <v>164</v>
      </c>
    </row>
    <row r="38" spans="5:8" x14ac:dyDescent="0.3">
      <c r="E38" t="s">
        <v>123</v>
      </c>
      <c r="F38" t="s">
        <v>159</v>
      </c>
    </row>
    <row r="39" spans="5:8" x14ac:dyDescent="0.3">
      <c r="E39" t="s">
        <v>124</v>
      </c>
      <c r="F39" t="s">
        <v>160</v>
      </c>
      <c r="G39" s="5">
        <v>12.91</v>
      </c>
      <c r="H39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6822-067C-4209-A238-0BA0D0B20582}">
  <dimension ref="A2:L14"/>
  <sheetViews>
    <sheetView tabSelected="1" workbookViewId="0">
      <selection activeCell="L13" sqref="L13"/>
    </sheetView>
  </sheetViews>
  <sheetFormatPr baseColWidth="10" defaultRowHeight="14.4" x14ac:dyDescent="0.3"/>
  <cols>
    <col min="1" max="1" width="40.44140625" bestFit="1" customWidth="1"/>
    <col min="2" max="2" width="9.21875" customWidth="1"/>
    <col min="3" max="10" width="12.6640625" bestFit="1" customWidth="1"/>
    <col min="11" max="12" width="12.21875" bestFit="1" customWidth="1"/>
  </cols>
  <sheetData>
    <row r="2" spans="1:12" x14ac:dyDescent="0.3">
      <c r="B2" t="s">
        <v>176</v>
      </c>
    </row>
    <row r="5" spans="1:12" ht="15" thickBot="1" x14ac:dyDescent="0.35">
      <c r="B5" s="14" t="s">
        <v>177</v>
      </c>
      <c r="C5" s="14" t="s">
        <v>178</v>
      </c>
      <c r="D5" s="14" t="s">
        <v>179</v>
      </c>
      <c r="E5" s="14" t="s">
        <v>188</v>
      </c>
      <c r="F5" s="14" t="s">
        <v>189</v>
      </c>
      <c r="G5" s="14" t="s">
        <v>190</v>
      </c>
      <c r="H5" s="14" t="s">
        <v>191</v>
      </c>
      <c r="I5" s="14" t="s">
        <v>192</v>
      </c>
      <c r="J5" s="14" t="s">
        <v>193</v>
      </c>
      <c r="K5" s="19" t="s">
        <v>194</v>
      </c>
      <c r="L5" s="19" t="s">
        <v>195</v>
      </c>
    </row>
    <row r="6" spans="1:12" x14ac:dyDescent="0.3">
      <c r="A6" s="16" t="s">
        <v>180</v>
      </c>
      <c r="B6" s="15"/>
      <c r="C6" s="15"/>
      <c r="D6" s="15"/>
      <c r="E6" s="15"/>
      <c r="F6" s="15"/>
      <c r="G6" s="18"/>
      <c r="H6" s="18"/>
      <c r="I6" s="15"/>
      <c r="J6" s="15"/>
    </row>
    <row r="7" spans="1:12" x14ac:dyDescent="0.3">
      <c r="A7" s="17" t="s">
        <v>181</v>
      </c>
      <c r="B7" s="20">
        <v>31.56</v>
      </c>
      <c r="C7" s="20">
        <v>29.57</v>
      </c>
      <c r="D7" s="20">
        <v>29.57</v>
      </c>
      <c r="E7" s="20">
        <v>31.56</v>
      </c>
      <c r="F7" s="20">
        <v>29.57</v>
      </c>
      <c r="G7" s="20">
        <v>31.56</v>
      </c>
      <c r="H7" s="20">
        <v>29.57</v>
      </c>
      <c r="I7" s="20">
        <v>31.56</v>
      </c>
      <c r="J7" s="20">
        <v>29.57</v>
      </c>
      <c r="K7" s="21">
        <f>MIN(B7:J7)</f>
        <v>29.57</v>
      </c>
      <c r="L7" s="21">
        <f>MAX(B7:J7)</f>
        <v>31.56</v>
      </c>
    </row>
    <row r="8" spans="1:12" ht="16.2" x14ac:dyDescent="0.3">
      <c r="A8" s="17" t="s">
        <v>182</v>
      </c>
      <c r="B8" s="20">
        <v>12.873000000000001</v>
      </c>
      <c r="C8" s="20">
        <v>13.098599999999999</v>
      </c>
      <c r="D8" s="20">
        <v>13.098599999999999</v>
      </c>
      <c r="E8" s="20">
        <v>12.873000000000001</v>
      </c>
      <c r="F8" s="20">
        <v>13.098599999999999</v>
      </c>
      <c r="G8" s="20">
        <v>12.873000000000001</v>
      </c>
      <c r="H8" s="20">
        <v>13.098599999999999</v>
      </c>
      <c r="I8" s="20">
        <v>12.872999999999999</v>
      </c>
      <c r="J8" s="20">
        <v>13.099</v>
      </c>
      <c r="K8" s="21">
        <f>MIN(B8:J8)</f>
        <v>12.872999999999999</v>
      </c>
      <c r="L8" s="21">
        <f t="shared" ref="L8:L14" si="0">MAX(B8:J8)</f>
        <v>13.099</v>
      </c>
    </row>
    <row r="9" spans="1:12" x14ac:dyDescent="0.3">
      <c r="A9" s="17"/>
      <c r="B9" s="20"/>
      <c r="C9" s="20"/>
      <c r="D9" s="20"/>
      <c r="E9" s="20"/>
      <c r="F9" s="20"/>
      <c r="G9" s="20"/>
      <c r="H9" s="20"/>
      <c r="I9" s="20"/>
      <c r="J9" s="20"/>
      <c r="K9" s="21"/>
      <c r="L9" s="21"/>
    </row>
    <row r="10" spans="1:12" x14ac:dyDescent="0.3">
      <c r="A10" s="16" t="s">
        <v>183</v>
      </c>
      <c r="B10" s="20"/>
      <c r="C10" s="20"/>
      <c r="D10" s="20"/>
      <c r="E10" s="20"/>
      <c r="F10" s="20"/>
      <c r="G10" s="20"/>
      <c r="H10" s="20"/>
      <c r="I10" s="20"/>
      <c r="J10" s="20"/>
      <c r="K10" s="21"/>
      <c r="L10" s="21"/>
    </row>
    <row r="11" spans="1:12" x14ac:dyDescent="0.3">
      <c r="A11" s="17" t="s">
        <v>184</v>
      </c>
      <c r="B11" s="22">
        <v>4.25</v>
      </c>
      <c r="C11" s="22">
        <v>3.87</v>
      </c>
      <c r="D11" s="22">
        <v>3.87</v>
      </c>
      <c r="E11" s="22">
        <v>10.141152067762674</v>
      </c>
      <c r="F11" s="22">
        <v>9.7415014561063948</v>
      </c>
      <c r="G11" s="22">
        <v>6.4369451840342338</v>
      </c>
      <c r="H11" s="22">
        <v>4.3230977912444635</v>
      </c>
      <c r="I11" s="20">
        <v>6.3759190058014124</v>
      </c>
      <c r="J11" s="20">
        <v>4.2926950954928973</v>
      </c>
      <c r="K11" s="21">
        <f>MIN(B11:J11)</f>
        <v>3.87</v>
      </c>
      <c r="L11" s="21">
        <f t="shared" si="0"/>
        <v>10.141152067762674</v>
      </c>
    </row>
    <row r="12" spans="1:12" x14ac:dyDescent="0.3">
      <c r="A12" s="17" t="s">
        <v>185</v>
      </c>
      <c r="B12" s="22">
        <v>3.74</v>
      </c>
      <c r="C12" s="22">
        <v>3.82</v>
      </c>
      <c r="D12" s="22">
        <v>3.82</v>
      </c>
      <c r="E12" s="22">
        <v>2.7017203289384877E-11</v>
      </c>
      <c r="F12" s="22">
        <v>1.7507773009128869E-11</v>
      </c>
      <c r="G12" s="22">
        <v>2.5024482122783054</v>
      </c>
      <c r="H12" s="22">
        <v>3.6605068210460967</v>
      </c>
      <c r="I12" s="20">
        <v>2.3329346975489593</v>
      </c>
      <c r="J12" s="20">
        <v>3.5742605496612776</v>
      </c>
      <c r="K12" s="21">
        <f t="shared" ref="K9:K14" si="1">MIN(B12:J12)</f>
        <v>1.7507773009128869E-11</v>
      </c>
      <c r="L12" s="21">
        <f t="shared" si="0"/>
        <v>3.82</v>
      </c>
    </row>
    <row r="13" spans="1:12" ht="16.2" x14ac:dyDescent="0.3">
      <c r="A13" s="17" t="s">
        <v>186</v>
      </c>
      <c r="B13" s="22">
        <v>12.91</v>
      </c>
      <c r="C13" s="22">
        <v>12.23</v>
      </c>
      <c r="D13" s="22">
        <v>12.23</v>
      </c>
      <c r="E13" s="22">
        <v>9.4759858969809603</v>
      </c>
      <c r="F13" s="22">
        <v>8.3585100772371703</v>
      </c>
      <c r="G13" s="22">
        <v>11.974146915945939</v>
      </c>
      <c r="H13" s="22">
        <v>12.012745719428892</v>
      </c>
      <c r="I13" s="20">
        <v>12.023292960400909</v>
      </c>
      <c r="J13" s="20">
        <v>12.034933501041451</v>
      </c>
      <c r="K13" s="21">
        <f t="shared" si="1"/>
        <v>8.3585100772371703</v>
      </c>
      <c r="L13" s="21">
        <f t="shared" si="0"/>
        <v>12.91</v>
      </c>
    </row>
    <row r="14" spans="1:12" x14ac:dyDescent="0.3">
      <c r="A14" s="17" t="s">
        <v>187</v>
      </c>
      <c r="B14" s="22">
        <v>0.09</v>
      </c>
      <c r="C14" s="22">
        <v>0.09</v>
      </c>
      <c r="D14" s="22">
        <v>0.09</v>
      </c>
      <c r="E14" s="22">
        <v>0</v>
      </c>
      <c r="F14" s="22">
        <v>0</v>
      </c>
      <c r="G14" s="22">
        <v>0</v>
      </c>
      <c r="H14" s="22">
        <v>0</v>
      </c>
      <c r="I14" s="20">
        <v>0.15685713093921372</v>
      </c>
      <c r="J14" s="20">
        <v>8.0202995771637475E-2</v>
      </c>
      <c r="K14" s="21">
        <f t="shared" si="1"/>
        <v>0</v>
      </c>
      <c r="L14" s="21">
        <f t="shared" si="0"/>
        <v>0.15685713093921372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Metabolite concentration</vt:lpstr>
      <vt:lpstr>Hoja1</vt:lpstr>
      <vt:lpstr>Uptake Rates</vt:lpstr>
      <vt:lpstr>Flux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Zapararte</dc:creator>
  <cp:lastModifiedBy>Sebastián Zapararte .</cp:lastModifiedBy>
  <dcterms:created xsi:type="dcterms:W3CDTF">2023-08-17T04:47:56Z</dcterms:created>
  <dcterms:modified xsi:type="dcterms:W3CDTF">2024-01-12T12:29:52Z</dcterms:modified>
</cp:coreProperties>
</file>